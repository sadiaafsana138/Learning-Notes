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heat Sheet" sheetId="1" state="visible" r:id="rId3"/>
    <sheet name="Live Examples" sheetId="2" state="visible" r:id="rId4"/>
    <sheet name="Read Me" sheetId="3" state="visible" r:id="rId5"/>
  </sheets>
  <definedNames>
    <definedName function="false" hidden="true" localSheetId="0" name="_xlnm._FilterDatabase" vbProcedure="false">'Master Cheat Sheet'!$A$4:$F$59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<sst xmlns="http://schemas.openxmlformats.org/spreadsheetml/2006/main" count="315" uniqueCount="260">
  <si>
    <t xml:space="preserve">Excel  ↔  Google Sheets — Master Data Analysis Cheat Sheet</t>
  </si>
  <si>
    <t xml:space="preserve">44 functions &amp; features, side by side. Formulas are nearly identical across both apps unless noted in the Notes column.</t>
  </si>
  <si>
    <t xml:space="preserve">#</t>
  </si>
  <si>
    <t xml:space="preserve">Function / Feature</t>
  </si>
  <si>
    <t xml:space="preserve">What it does</t>
  </si>
  <si>
    <t xml:space="preserve">Excel formula / how-to</t>
  </si>
  <si>
    <t xml:space="preserve">Google Sheets formula / how-to</t>
  </si>
  <si>
    <t xml:space="preserve">Notes &amp; differences</t>
  </si>
  <si>
    <t xml:space="preserve">BASIC AGGREGATION</t>
  </si>
  <si>
    <t xml:space="preserve">SUM</t>
  </si>
  <si>
    <t xml:space="preserve">Adds numbers in a range.</t>
  </si>
  <si>
    <t xml:space="preserve">=SUM(A1:A5)</t>
  </si>
  <si>
    <t xml:space="preserve">Identical.</t>
  </si>
  <si>
    <t xml:space="preserve">AVERAGE</t>
  </si>
  <si>
    <t xml:space="preserve">Mean of a range.</t>
  </si>
  <si>
    <t xml:space="preserve">=AVERAGE(B1:B10)</t>
  </si>
  <si>
    <t xml:space="preserve">COUNT</t>
  </si>
  <si>
    <t xml:space="preserve">Counts cells containing numbers.</t>
  </si>
  <si>
    <t xml:space="preserve">=COUNT(C1:C20)</t>
  </si>
  <si>
    <t xml:space="preserve">COUNTA counts non-empty cells in both.</t>
  </si>
  <si>
    <t xml:space="preserve">MAX</t>
  </si>
  <si>
    <t xml:space="preserve">Largest value in a range.</t>
  </si>
  <si>
    <t xml:space="preserve">=MAX(D1:D8)</t>
  </si>
  <si>
    <t xml:space="preserve">MIN</t>
  </si>
  <si>
    <t xml:space="preserve">Smallest value in a range.</t>
  </si>
  <si>
    <t xml:space="preserve">=MIN(E1:E12)</t>
  </si>
  <si>
    <t xml:space="preserve">LOGIC &amp; LOOKUP</t>
  </si>
  <si>
    <t xml:space="preserve">IF</t>
  </si>
  <si>
    <t xml:space="preserve">Returns one of two values based on a test.</t>
  </si>
  <si>
    <t xml:space="preserve">=IF(F1&gt;10,"Yes","No")</t>
  </si>
  <si>
    <t xml:space="preserve">VLOOKUP</t>
  </si>
  <si>
    <t xml:space="preserve">Finds a value in the first column, returns from another.</t>
  </si>
  <si>
    <t xml:space="preserve">=VLOOKUP(G1,A1:B10,2,FALSE)</t>
  </si>
  <si>
    <t xml:space="preserve">Both now favour XLOOKUP (Excel 365) / XLOOKUP (Sheets).</t>
  </si>
  <si>
    <t xml:space="preserve">XLOOKUP</t>
  </si>
  <si>
    <t xml:space="preserve">Modern, flexible lookup in any direction.</t>
  </si>
  <si>
    <t xml:space="preserve">=XLOOKUP(G1,A1:A10,B1:B10)</t>
  </si>
  <si>
    <t xml:space="preserve">Excel 365+ and Google Sheets both support it.</t>
  </si>
  <si>
    <t xml:space="preserve">INDEX/MATCH</t>
  </si>
  <si>
    <t xml:space="preserve">Two-step flexible lookup.</t>
  </si>
  <si>
    <t xml:space="preserve">=INDEX(B1:B10,MATCH(G1,A1:A10,0))</t>
  </si>
  <si>
    <t xml:space="preserve">Identical; works in all versions.</t>
  </si>
  <si>
    <t xml:space="preserve">CONDITIONAL AGGREGATION</t>
  </si>
  <si>
    <t xml:space="preserve">COUNTIF</t>
  </si>
  <si>
    <t xml:space="preserve">Counts cells meeting one condition.</t>
  </si>
  <si>
    <t xml:space="preserve">=COUNTIF(C1:C20,"&gt;50")</t>
  </si>
  <si>
    <t xml:space="preserve">COUNTIFS</t>
  </si>
  <si>
    <t xml:space="preserve">Counts on multiple conditions.</t>
  </si>
  <si>
    <t xml:space="preserve">=COUNTIFS(A:A,"X",B:B,"&gt;5")</t>
  </si>
  <si>
    <t xml:space="preserve">SUMIF</t>
  </si>
  <si>
    <t xml:space="preserve">Sums cells meeting one condition.</t>
  </si>
  <si>
    <t xml:space="preserve">=SUMIF(D1:D10,"Apples",E1:E10)</t>
  </si>
  <si>
    <t xml:space="preserve">SUMIFS</t>
  </si>
  <si>
    <t xml:space="preserve">Sums on multiple conditions.</t>
  </si>
  <si>
    <t xml:space="preserve">=SUMIFS(E1:E10,D1:D10,"Apples",F1:F10,"&gt;0")</t>
  </si>
  <si>
    <t xml:space="preserve">AVERAGEIFS</t>
  </si>
  <si>
    <t xml:space="preserve">Averages on multiple conditions.</t>
  </si>
  <si>
    <t xml:space="preserve">=AVERAGEIFS(F1:F20,G1:G20,"Product A",H1:H20,"Region 1")</t>
  </si>
  <si>
    <t xml:space="preserve">STATISTICS</t>
  </si>
  <si>
    <t xml:space="preserve">RANK</t>
  </si>
  <si>
    <t xml:space="preserve">Position of a value in a list.</t>
  </si>
  <si>
    <t xml:space="preserve">=RANK(B2,A1:A10)</t>
  </si>
  <si>
    <t xml:space="preserve">Excel also has RANK.EQ / RANK.AVG.</t>
  </si>
  <si>
    <t xml:space="preserve">QUARTILE</t>
  </si>
  <si>
    <t xml:space="preserve">Q1/Q2/Q3 of a dataset.</t>
  </si>
  <si>
    <t xml:space="preserve">=QUARTILE(A1:A20,1)</t>
  </si>
  <si>
    <t xml:space="preserve">Excel 365: QUARTILE.INC / .EXC. Sheets: QUARTILE.</t>
  </si>
  <si>
    <t xml:space="preserve">PERCENTILE</t>
  </si>
  <si>
    <t xml:space="preserve">Value below which a % of data falls.</t>
  </si>
  <si>
    <t xml:space="preserve">=PERCENTILE(B1:B15,0.75)</t>
  </si>
  <si>
    <t xml:space="preserve">Use 0.75 (a fraction), not 75.</t>
  </si>
  <si>
    <t xml:space="preserve">RANDBETWEEN</t>
  </si>
  <si>
    <t xml:space="preserve">Random integer in a range.</t>
  </si>
  <si>
    <t xml:space="preserve">=RANDBETWEEN(1,100)</t>
  </si>
  <si>
    <t xml:space="preserve">Sheets also has RAND(); recalcs on every edit.</t>
  </si>
  <si>
    <t xml:space="preserve">FORECAST.ETS</t>
  </si>
  <si>
    <t xml:space="preserve">Exponential-smoothing time-series forecast.</t>
  </si>
  <si>
    <t xml:space="preserve">=FORECAST.ETS(target,vals,timeline,...)</t>
  </si>
  <si>
    <t xml:space="preserve">Not available — use FORECAST or TREND</t>
  </si>
  <si>
    <t xml:space="preserve">★ Key difference: Sheets lacks ETS. Use FORECAST.LINEAR or the Forecast add-on.</t>
  </si>
  <si>
    <t xml:space="preserve">TEXT</t>
  </si>
  <si>
    <t xml:space="preserve">CONCATENATE</t>
  </si>
  <si>
    <t xml:space="preserve">Joins text from cells.</t>
  </si>
  <si>
    <t xml:space="preserve">=CONCATENATE("Hello, ",A1)  or  =A1&amp;B1</t>
  </si>
  <si>
    <t xml:space="preserve">Both prefer TEXTJOIN / &amp; operator now.</t>
  </si>
  <si>
    <t xml:space="preserve">LEFT/RIGHT/MID</t>
  </si>
  <si>
    <t xml:space="preserve">Extract substrings.</t>
  </si>
  <si>
    <t xml:space="preserve">=LEFT(A1,5)</t>
  </si>
  <si>
    <t xml:space="preserve">Identical (also RIGHT, MID).</t>
  </si>
  <si>
    <t xml:space="preserve">LOWER/UPPER/PROPER</t>
  </si>
  <si>
    <t xml:space="preserve">Change text case.</t>
  </si>
  <si>
    <t xml:space="preserve">=LOWER(A1)</t>
  </si>
  <si>
    <t xml:space="preserve">TEXT-TO-COLUMNS</t>
  </si>
  <si>
    <t xml:space="preserve">Split one column into many by a delimiter.</t>
  </si>
  <si>
    <t xml:space="preserve">Data ▸ Text to Columns</t>
  </si>
  <si>
    <t xml:space="preserve">Data ▸ Split text to columns</t>
  </si>
  <si>
    <t xml:space="preserve">Menu feature. Sheets also has SPLIT() function.</t>
  </si>
  <si>
    <t xml:space="preserve">ARRAYS &amp; MATRICES</t>
  </si>
  <si>
    <t xml:space="preserve">Array formula</t>
  </si>
  <si>
    <t xml:space="preserve">Calculate across whole arrays.</t>
  </si>
  <si>
    <t xml:space="preserve">=SUM(A1:A10*B1:B10)  (Ctrl+Shift+Enter in older Excel)</t>
  </si>
  <si>
    <t xml:space="preserve">=ARRAYFORMULA(SUM(A1:A10*B1:B10))</t>
  </si>
  <si>
    <t xml:space="preserve">★ Sheets wraps in ARRAYFORMULA; Excel 365 is dynamic by default.</t>
  </si>
  <si>
    <t xml:space="preserve">TRANSPOSE</t>
  </si>
  <si>
    <t xml:space="preserve">Swap rows and columns.</t>
  </si>
  <si>
    <t xml:space="preserve">=TRANSPOSE(A1:D5)</t>
  </si>
  <si>
    <t xml:space="preserve">MMULT</t>
  </si>
  <si>
    <t xml:space="preserve">Matrix multiplication.</t>
  </si>
  <si>
    <t xml:space="preserve">=MMULT(A1:C3,E1:G3)</t>
  </si>
  <si>
    <t xml:space="preserve">MINVERSE</t>
  </si>
  <si>
    <t xml:space="preserve">Inverse of a matrix.</t>
  </si>
  <si>
    <t xml:space="preserve">=MINVERSE(A1:C3)</t>
  </si>
  <si>
    <t xml:space="preserve">MUNIT</t>
  </si>
  <si>
    <t xml:space="preserve">Identity matrix.</t>
  </si>
  <si>
    <t xml:space="preserve">=MUNIT(3)</t>
  </si>
  <si>
    <t xml:space="preserve">Not available</t>
  </si>
  <si>
    <t xml:space="preserve">★ Sheets has no MUNIT; build identity manually.</t>
  </si>
  <si>
    <t xml:space="preserve">DATABASE FUNCTIONS</t>
  </si>
  <si>
    <t xml:space="preserve">DSUM</t>
  </si>
  <si>
    <t xml:space="preserve">Sum with a criteria range.</t>
  </si>
  <si>
    <t xml:space="preserve">=DSUM(A1:D20,"Sales",F1:F2)</t>
  </si>
  <si>
    <t xml:space="preserve">Identical (also DAVERAGE, DCOUNT).</t>
  </si>
  <si>
    <t xml:space="preserve">DAVERAGE</t>
  </si>
  <si>
    <t xml:space="preserve">Average with a criteria range.</t>
  </si>
  <si>
    <t xml:space="preserve">=DAVERAGE(A1:D20,"Sales",F1:F2)</t>
  </si>
  <si>
    <t xml:space="preserve">DCOUNT</t>
  </si>
  <si>
    <t xml:space="preserve">Count with a criteria range.</t>
  </si>
  <si>
    <t xml:space="preserve">=DCOUNT(A1:D20,"Sales",F1:F2)</t>
  </si>
  <si>
    <t xml:space="preserve">DATA TOOLS &amp; FEATURES</t>
  </si>
  <si>
    <t xml:space="preserve">PivotTable</t>
  </si>
  <si>
    <t xml:space="preserve">Summarise &amp; cross-tabulate data.</t>
  </si>
  <si>
    <t xml:space="preserve">Insert ▸ PivotTable</t>
  </si>
  <si>
    <t xml:space="preserve">Insert ▸ Pivot table</t>
  </si>
  <si>
    <t xml:space="preserve">Same concept; Sheets UI is simpler.</t>
  </si>
  <si>
    <t xml:space="preserve">Calculated fields</t>
  </si>
  <si>
    <t xml:space="preserve">Custom formulas inside a pivot.</t>
  </si>
  <si>
    <t xml:space="preserve">PivotTable ▸ Fields, Items &amp; Sets</t>
  </si>
  <si>
    <t xml:space="preserve">Pivot editor ▸ Calculated field</t>
  </si>
  <si>
    <t xml:space="preserve">Both supported.</t>
  </si>
  <si>
    <t xml:space="preserve">Sort &amp; Filter</t>
  </si>
  <si>
    <t xml:space="preserve">Order rows / show subsets.</t>
  </si>
  <si>
    <t xml:space="preserve">Data ▸ Sort / Filter</t>
  </si>
  <si>
    <t xml:space="preserve">Data ▸ Sort range / Create a filter</t>
  </si>
  <si>
    <t xml:space="preserve">Sheets has Filter Views (per-user filters).</t>
  </si>
  <si>
    <t xml:space="preserve">Timeline slicer</t>
  </si>
  <si>
    <t xml:space="preserve">Filter a pivot by date range.</t>
  </si>
  <si>
    <t xml:space="preserve">PivotTable ▸ Insert Timeline</t>
  </si>
  <si>
    <t xml:space="preserve">Add a Slicer on a date field</t>
  </si>
  <si>
    <t xml:space="preserve">Excel has a dedicated Timeline; Sheets uses Slicers.</t>
  </si>
  <si>
    <t xml:space="preserve">Named ranges</t>
  </si>
  <si>
    <t xml:space="preserve">Name a range for readable formulas.</t>
  </si>
  <si>
    <t xml:space="preserve">Formulas ▸ Name Manager</t>
  </si>
  <si>
    <t xml:space="preserve">Data ▸ Named ranges</t>
  </si>
  <si>
    <t xml:space="preserve">Dynamic named range</t>
  </si>
  <si>
    <t xml:space="preserve">Range that auto-expands.</t>
  </si>
  <si>
    <t xml:space="preserve">=OFFSET(...) or a Table</t>
  </si>
  <si>
    <t xml:space="preserve">Use open range A2:A or INDEX</t>
  </si>
  <si>
    <t xml:space="preserve">★ Sheets: open-ended A2:A is the easy way.</t>
  </si>
  <si>
    <t xml:space="preserve">Data Validation</t>
  </si>
  <si>
    <t xml:space="preserve">Restrict cell input.</t>
  </si>
  <si>
    <t xml:space="preserve">Data ▸ Data Validation (custom formula)</t>
  </si>
  <si>
    <t xml:space="preserve">Data ▸ Data validation (custom formula)</t>
  </si>
  <si>
    <t xml:space="preserve">Both support custom-formula rules.</t>
  </si>
  <si>
    <t xml:space="preserve">Charts</t>
  </si>
  <si>
    <t xml:space="preserve">Visualise data.</t>
  </si>
  <si>
    <t xml:space="preserve">Insert ▸ Chart</t>
  </si>
  <si>
    <t xml:space="preserve">Same categories: bar, line, pie, etc.</t>
  </si>
  <si>
    <t xml:space="preserve">Advanced charts</t>
  </si>
  <si>
    <t xml:space="preserve">Radar, histogram, etc.</t>
  </si>
  <si>
    <t xml:space="preserve">Insert ▸ Chart ▸ All Charts</t>
  </si>
  <si>
    <t xml:space="preserve">Insert ▸ Chart ▸ Chart type</t>
  </si>
  <si>
    <t xml:space="preserve">Excel has more niche types; Sheets covers common ones.</t>
  </si>
  <si>
    <t xml:space="preserve">POWER TOOLS / ANALYSIS</t>
  </si>
  <si>
    <t xml:space="preserve">Power Query</t>
  </si>
  <si>
    <t xml:space="preserve">Import, clean &amp; combine data sources.</t>
  </si>
  <si>
    <t xml:space="preserve">Data ▸ Get &amp; Transform (Power Query)</t>
  </si>
  <si>
    <t xml:space="preserve">Not built-in — use IMPORTRANGE / Connected Sheets / add-ons</t>
  </si>
  <si>
    <t xml:space="preserve">★ Major difference: no Power Query in Sheets.</t>
  </si>
  <si>
    <t xml:space="preserve">Data Analysis ToolPak</t>
  </si>
  <si>
    <t xml:space="preserve">Regression, ANOVA, correlation.</t>
  </si>
  <si>
    <t xml:space="preserve">Add-ins ▸ Analysis ToolPak</t>
  </si>
  <si>
    <t xml:space="preserve">Use add-ons (e.g. XLMiner) or built-in stat functions</t>
  </si>
  <si>
    <t xml:space="preserve">★ Sheets has no ToolPak; use functions or add-ons.</t>
  </si>
  <si>
    <t xml:space="preserve">Solver</t>
  </si>
  <si>
    <t xml:space="preserve">Optimise with constraints.</t>
  </si>
  <si>
    <t xml:space="preserve">Data ▸ Solver add-in</t>
  </si>
  <si>
    <t xml:space="preserve">Add-ons ▸ Solver (3rd-party)</t>
  </si>
  <si>
    <t xml:space="preserve">Excel ships Solver; Sheets needs an add-on.</t>
  </si>
  <si>
    <t xml:space="preserve">Goal Seek</t>
  </si>
  <si>
    <t xml:space="preserve">Find input for a target output.</t>
  </si>
  <si>
    <t xml:space="preserve">Data ▸ What-If ▸ Goal Seek</t>
  </si>
  <si>
    <t xml:space="preserve">Add-on (e.g. Goal Seek by Google)</t>
  </si>
  <si>
    <t xml:space="preserve">Excel built-in; Sheets via add-on.</t>
  </si>
  <si>
    <t xml:space="preserve">3D / cross-sheet formula</t>
  </si>
  <si>
    <t xml:space="preserve">Aggregate same cell across sheets.</t>
  </si>
  <si>
    <t xml:space="preserve">=SUM(Sheet1:Sheet3!B2)</t>
  </si>
  <si>
    <t xml:space="preserve">Not supported — list each sheet</t>
  </si>
  <si>
    <t xml:space="preserve">★ No 3D refs in Sheets; use =Sheet1!B2+Sheet2!B2+Sheet3!B2.</t>
  </si>
  <si>
    <t xml:space="preserve">Macros / scripting</t>
  </si>
  <si>
    <t xml:space="preserve">Automate tasks.</t>
  </si>
  <si>
    <t xml:space="preserve">VBA (Visual Basic for Applications)</t>
  </si>
  <si>
    <t xml:space="preserve">Apps Script (JavaScript)</t>
  </si>
  <si>
    <t xml:space="preserve">★ Different languages: VBA vs Apps Script.</t>
  </si>
  <si>
    <t xml:space="preserve">Live Examples — real data with working formulas (edit the data, results recalc)</t>
  </si>
  <si>
    <t xml:space="preserve">Sample sales data</t>
  </si>
  <si>
    <t xml:space="preserve">Product</t>
  </si>
  <si>
    <t xml:space="preserve">Region</t>
  </si>
  <si>
    <t xml:space="preserve">Units</t>
  </si>
  <si>
    <t xml:space="preserve">Revenue</t>
  </si>
  <si>
    <t xml:space="preserve">Formula (works in Excel &amp; Sheets)</t>
  </si>
  <si>
    <t xml:space="preserve">Result</t>
  </si>
  <si>
    <t xml:space="preserve">What it shows</t>
  </si>
  <si>
    <t xml:space="preserve">Apples</t>
  </si>
  <si>
    <t xml:space="preserve">North</t>
  </si>
  <si>
    <t xml:space="preserve">=SUM(D5:D12)</t>
  </si>
  <si>
    <t xml:space="preserve">Total revenue</t>
  </si>
  <si>
    <t xml:space="preserve">Bananas</t>
  </si>
  <si>
    <t xml:space="preserve">South</t>
  </si>
  <si>
    <t xml:space="preserve">=AVERAGE(C5:C12)</t>
  </si>
  <si>
    <t xml:space="preserve">Average units</t>
  </si>
  <si>
    <t xml:space="preserve">=MAX(D5:D12)</t>
  </si>
  <si>
    <t xml:space="preserve">Highest revenue</t>
  </si>
  <si>
    <t xml:space="preserve">Cherries</t>
  </si>
  <si>
    <t xml:space="preserve">=COUNTIF(A5:A12,"Apples")</t>
  </si>
  <si>
    <t xml:space="preserve">Count of "Apples" rows</t>
  </si>
  <si>
    <t xml:space="preserve">=SUMIF(A5:A12,"Apples",D5:D12)</t>
  </si>
  <si>
    <t xml:space="preserve">Revenue from Apples</t>
  </si>
  <si>
    <t xml:space="preserve">=SUMIFS(D5:D12,A5:A12,"Bananas",B5:B12,"South")</t>
  </si>
  <si>
    <t xml:space="preserve">Bananas in South</t>
  </si>
  <si>
    <t xml:space="preserve">=AVERAGEIFS(C5:C12,B5:B12,"North")</t>
  </si>
  <si>
    <t xml:space="preserve">Avg units in North</t>
  </si>
  <si>
    <t xml:space="preserve">=VLOOKUP("Cherries",A5:D12,4,FALSE)</t>
  </si>
  <si>
    <t xml:space="preserve">First Cherries revenue</t>
  </si>
  <si>
    <t xml:space="preserve">=INDEX(D5:D12,MATCH("Bananas",A5:A12,0))</t>
  </si>
  <si>
    <t xml:space="preserve">First Bananas revenue</t>
  </si>
  <si>
    <t xml:space="preserve">=RANK(D5,D5:D12)</t>
  </si>
  <si>
    <t xml:space="preserve">Rank of row-1 revenue</t>
  </si>
  <si>
    <t xml:space="preserve">=PERCENTILE(D5:D12,0.75)</t>
  </si>
  <si>
    <t xml:space="preserve">75th percentile revenue</t>
  </si>
  <si>
    <t xml:space="preserve">=COUNTA(A5:A12)</t>
  </si>
  <si>
    <t xml:space="preserve">Count of all product rows</t>
  </si>
  <si>
    <t xml:space="preserve">Excel ↔ Google Sheets — Master Cheat Sheet</t>
  </si>
  <si>
    <t xml:space="preserve">This workbook reshapes a 44-item Excel reference into a side-by-side Excel vs Google Sheets guide.</t>
  </si>
  <si>
    <t xml:space="preserve">Tabs:</t>
  </si>
  <si>
    <t xml:space="preserve">• Master Cheat Sheet — all 44 functions/features grouped by category. Filter or sort using the</t>
  </si>
  <si>
    <t xml:space="preserve">   header dropdowns (row 4). Excel and Google Sheets formulas sit side by side.</t>
  </si>
  <si>
    <t xml:space="preserve">• Live Examples — a small sales dataset with real working formulas. Change the numbers and</t>
  </si>
  <si>
    <t xml:space="preserve">   every result recalculates. These formulas work the same in both apps.</t>
  </si>
  <si>
    <t xml:space="preserve">• Read Me — this tab.</t>
  </si>
  <si>
    <t xml:space="preserve">Reading the Notes column:</t>
  </si>
  <si>
    <t xml:space="preserve">• Most formulas are identical in both apps — the syntax matches exactly.</t>
  </si>
  <si>
    <t xml:space="preserve">• Rows with a ★ and an amber highlight mark a real difference worth knowing.</t>
  </si>
  <si>
    <t xml:space="preserve">Biggest Excel-only items (no direct Sheets equivalent):</t>
  </si>
  <si>
    <t xml:space="preserve">• Power Query (Get &amp; Transform)  • Data Analysis ToolPak  • Built-in Solver &amp; Goal Seek</t>
  </si>
  <si>
    <t xml:space="preserve">• 3D cross-sheet references (=SUM(Sheet1:Sheet3!B2))  • FORECAST.ETS  • MUNIT  • VBA macros</t>
  </si>
  <si>
    <t xml:space="preserve">Google Sheets advantages:</t>
  </si>
  <si>
    <t xml:space="preserve">• ARRAYFORMULA makes whole-column formulas easy  • IMPORTRANGE pulls live data across files</t>
  </si>
  <si>
    <t xml:space="preserve">• Filter Views (per-user filters)  • Apps Script (JavaScript) for automation, runs in the cloud</t>
  </si>
  <si>
    <t xml:space="preserve">Tip: In Excel 365, many old array formulas (CSE / Ctrl+Shift+Enter) now 'spill' automatically,</t>
  </si>
  <si>
    <t xml:space="preserve">just like Google Sheets — so the two are converging.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</si>
</sst>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1A1A1A"/>
      <name val="Consolas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BF8F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  <font>
      <b val="true"/>
      <sz val="10"/>
      <color rgb="FF1F6F54"/>
      <name val="Arial"/>
      <family val="0"/>
      <charset val="1"/>
    </font>
    <font>
      <i val="true"/>
      <sz val="10"/>
      <color rgb="FFBF8F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2E5496"/>
      </patternFill>
    </fill>
    <fill>
      <patternFill patternType="solid">
        <fgColor rgb="FFEAF0FA"/>
        <bgColor rgb="FFFFFFFF"/>
      </patternFill>
    </fill>
    <fill>
      <patternFill patternType="solid">
        <fgColor rgb="FFFFF2CC"/>
        <bgColor rgb="FFEAF0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5496"/>
          <bgColor rgb="FF000000"/>
        </patternFill>
      </fill>
    </dxf>
    <dxf>
      <fill>
        <patternFill patternType="solid">
          <fgColor rgb="FFEAF0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BF8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4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6" min="5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4"/>
      <c r="C5" s="4"/>
      <c r="D5" s="4"/>
      <c r="E5" s="4"/>
      <c r="F5" s="4"/>
    </row>
    <row r="6" customFormat="false" ht="30" hidden="false" customHeight="true" outlineLevel="0" collapsed="false">
      <c r="A6" s="5" t="n">
        <v>1</v>
      </c>
      <c r="B6" s="6" t="s">
        <v>9</v>
      </c>
      <c r="C6" s="7" t="s">
        <v>10</v>
      </c>
      <c r="D6" s="8" t="s">
        <v>11</v>
      </c>
      <c r="E6" s="8" t="s">
        <v>11</v>
      </c>
      <c r="F6" s="9" t="s">
        <v>12</v>
      </c>
    </row>
    <row r="7" customFormat="false" ht="30" hidden="false" customHeight="true" outlineLevel="0" collapsed="false">
      <c r="A7" s="10" t="n">
        <v>2</v>
      </c>
      <c r="B7" s="11" t="s">
        <v>13</v>
      </c>
      <c r="C7" s="12" t="s">
        <v>14</v>
      </c>
      <c r="D7" s="13" t="s">
        <v>15</v>
      </c>
      <c r="E7" s="13" t="s">
        <v>15</v>
      </c>
      <c r="F7" s="14" t="s">
        <v>12</v>
      </c>
    </row>
    <row r="8" customFormat="false" ht="30" hidden="false" customHeight="true" outlineLevel="0" collapsed="false">
      <c r="A8" s="5" t="n">
        <v>3</v>
      </c>
      <c r="B8" s="6" t="s">
        <v>16</v>
      </c>
      <c r="C8" s="7" t="s">
        <v>17</v>
      </c>
      <c r="D8" s="8" t="s">
        <v>18</v>
      </c>
      <c r="E8" s="8" t="s">
        <v>18</v>
      </c>
      <c r="F8" s="9" t="s">
        <v>19</v>
      </c>
    </row>
    <row r="9" customFormat="false" ht="30" hidden="false" customHeight="true" outlineLevel="0" collapsed="false">
      <c r="A9" s="10" t="n">
        <v>4</v>
      </c>
      <c r="B9" s="11" t="s">
        <v>20</v>
      </c>
      <c r="C9" s="12" t="s">
        <v>21</v>
      </c>
      <c r="D9" s="13" t="s">
        <v>22</v>
      </c>
      <c r="E9" s="13" t="s">
        <v>22</v>
      </c>
      <c r="F9" s="14" t="s">
        <v>12</v>
      </c>
    </row>
    <row r="10" customFormat="false" ht="30" hidden="false" customHeight="true" outlineLevel="0" collapsed="false">
      <c r="A10" s="5" t="n">
        <v>5</v>
      </c>
      <c r="B10" s="6" t="s">
        <v>23</v>
      </c>
      <c r="C10" s="7" t="s">
        <v>24</v>
      </c>
      <c r="D10" s="8" t="s">
        <v>25</v>
      </c>
      <c r="E10" s="8" t="s">
        <v>25</v>
      </c>
      <c r="F10" s="9" t="s">
        <v>12</v>
      </c>
    </row>
    <row r="11" customFormat="false" ht="21.75" hidden="false" customHeight="true" outlineLevel="0" collapsed="false">
      <c r="A11" s="4" t="s">
        <v>26</v>
      </c>
      <c r="B11" s="4"/>
      <c r="C11" s="4"/>
      <c r="D11" s="4"/>
      <c r="E11" s="4"/>
      <c r="F11" s="4"/>
    </row>
    <row r="12" customFormat="false" ht="30" hidden="false" customHeight="true" outlineLevel="0" collapsed="false">
      <c r="A12" s="10" t="n">
        <v>6</v>
      </c>
      <c r="B12" s="11" t="s">
        <v>27</v>
      </c>
      <c r="C12" s="12" t="s">
        <v>28</v>
      </c>
      <c r="D12" s="13" t="s">
        <v>29</v>
      </c>
      <c r="E12" s="13" t="s">
        <v>29</v>
      </c>
      <c r="F12" s="14" t="s">
        <v>12</v>
      </c>
    </row>
    <row r="13" customFormat="false" ht="30" hidden="false" customHeight="true" outlineLevel="0" collapsed="false">
      <c r="A13" s="5" t="n">
        <v>7</v>
      </c>
      <c r="B13" s="6" t="s">
        <v>30</v>
      </c>
      <c r="C13" s="7" t="s">
        <v>31</v>
      </c>
      <c r="D13" s="8" t="s">
        <v>32</v>
      </c>
      <c r="E13" s="8" t="s">
        <v>32</v>
      </c>
      <c r="F13" s="9" t="s">
        <v>33</v>
      </c>
    </row>
    <row r="14" customFormat="false" ht="30" hidden="false" customHeight="true" outlineLevel="0" collapsed="false">
      <c r="A14" s="10" t="n">
        <v>8</v>
      </c>
      <c r="B14" s="11" t="s">
        <v>34</v>
      </c>
      <c r="C14" s="12" t="s">
        <v>35</v>
      </c>
      <c r="D14" s="13" t="s">
        <v>36</v>
      </c>
      <c r="E14" s="13" t="s">
        <v>36</v>
      </c>
      <c r="F14" s="14" t="s">
        <v>37</v>
      </c>
    </row>
    <row r="15" customFormat="false" ht="30" hidden="false" customHeight="true" outlineLevel="0" collapsed="false">
      <c r="A15" s="5" t="n">
        <v>9</v>
      </c>
      <c r="B15" s="6" t="s">
        <v>38</v>
      </c>
      <c r="C15" s="7" t="s">
        <v>39</v>
      </c>
      <c r="D15" s="8" t="s">
        <v>40</v>
      </c>
      <c r="E15" s="8" t="s">
        <v>40</v>
      </c>
      <c r="F15" s="9" t="s">
        <v>41</v>
      </c>
    </row>
    <row r="16" customFormat="false" ht="21.75" hidden="false" customHeight="true" outlineLevel="0" collapsed="false">
      <c r="A16" s="4" t="s">
        <v>42</v>
      </c>
      <c r="B16" s="4"/>
      <c r="C16" s="4"/>
      <c r="D16" s="4"/>
      <c r="E16" s="4"/>
      <c r="F16" s="4"/>
    </row>
    <row r="17" customFormat="false" ht="30" hidden="false" customHeight="true" outlineLevel="0" collapsed="false">
      <c r="A17" s="10" t="n">
        <v>10</v>
      </c>
      <c r="B17" s="11" t="s">
        <v>43</v>
      </c>
      <c r="C17" s="12" t="s">
        <v>44</v>
      </c>
      <c r="D17" s="13" t="s">
        <v>45</v>
      </c>
      <c r="E17" s="13" t="s">
        <v>45</v>
      </c>
      <c r="F17" s="14" t="s">
        <v>12</v>
      </c>
    </row>
    <row r="18" customFormat="false" ht="30" hidden="false" customHeight="true" outlineLevel="0" collapsed="false">
      <c r="A18" s="5" t="n">
        <v>11</v>
      </c>
      <c r="B18" s="6" t="s">
        <v>46</v>
      </c>
      <c r="C18" s="7" t="s">
        <v>47</v>
      </c>
      <c r="D18" s="8" t="s">
        <v>48</v>
      </c>
      <c r="E18" s="8" t="s">
        <v>48</v>
      </c>
      <c r="F18" s="9" t="s">
        <v>12</v>
      </c>
    </row>
    <row r="19" customFormat="false" ht="30" hidden="false" customHeight="true" outlineLevel="0" collapsed="false">
      <c r="A19" s="10" t="n">
        <v>12</v>
      </c>
      <c r="B19" s="11" t="s">
        <v>49</v>
      </c>
      <c r="C19" s="12" t="s">
        <v>50</v>
      </c>
      <c r="D19" s="13" t="s">
        <v>51</v>
      </c>
      <c r="E19" s="13" t="s">
        <v>51</v>
      </c>
      <c r="F19" s="14" t="s">
        <v>12</v>
      </c>
    </row>
    <row r="20" customFormat="false" ht="30" hidden="false" customHeight="true" outlineLevel="0" collapsed="false">
      <c r="A20" s="5" t="n">
        <v>13</v>
      </c>
      <c r="B20" s="6" t="s">
        <v>52</v>
      </c>
      <c r="C20" s="7" t="s">
        <v>53</v>
      </c>
      <c r="D20" s="8" t="s">
        <v>54</v>
      </c>
      <c r="E20" s="8" t="s">
        <v>54</v>
      </c>
      <c r="F20" s="9" t="s">
        <v>12</v>
      </c>
    </row>
    <row r="21" customFormat="false" ht="30" hidden="false" customHeight="true" outlineLevel="0" collapsed="false">
      <c r="A21" s="10" t="n">
        <v>14</v>
      </c>
      <c r="B21" s="11" t="s">
        <v>55</v>
      </c>
      <c r="C21" s="12" t="s">
        <v>56</v>
      </c>
      <c r="D21" s="13" t="s">
        <v>57</v>
      </c>
      <c r="E21" s="13" t="s">
        <v>57</v>
      </c>
      <c r="F21" s="14" t="s">
        <v>12</v>
      </c>
    </row>
    <row r="22" customFormat="false" ht="21.75" hidden="false" customHeight="true" outlineLevel="0" collapsed="false">
      <c r="A22" s="4" t="s">
        <v>58</v>
      </c>
      <c r="B22" s="4"/>
      <c r="C22" s="4"/>
      <c r="D22" s="4"/>
      <c r="E22" s="4"/>
      <c r="F22" s="4"/>
    </row>
    <row r="23" customFormat="false" ht="30" hidden="false" customHeight="true" outlineLevel="0" collapsed="false">
      <c r="A23" s="5" t="n">
        <v>15</v>
      </c>
      <c r="B23" s="6" t="s">
        <v>59</v>
      </c>
      <c r="C23" s="7" t="s">
        <v>60</v>
      </c>
      <c r="D23" s="8" t="s">
        <v>61</v>
      </c>
      <c r="E23" s="8" t="s">
        <v>61</v>
      </c>
      <c r="F23" s="9" t="s">
        <v>62</v>
      </c>
    </row>
    <row r="24" customFormat="false" ht="30" hidden="false" customHeight="true" outlineLevel="0" collapsed="false">
      <c r="A24" s="10" t="n">
        <v>16</v>
      </c>
      <c r="B24" s="11" t="s">
        <v>63</v>
      </c>
      <c r="C24" s="12" t="s">
        <v>64</v>
      </c>
      <c r="D24" s="13" t="s">
        <v>65</v>
      </c>
      <c r="E24" s="13" t="s">
        <v>65</v>
      </c>
      <c r="F24" s="14" t="s">
        <v>66</v>
      </c>
    </row>
    <row r="25" customFormat="false" ht="30" hidden="false" customHeight="true" outlineLevel="0" collapsed="false">
      <c r="A25" s="5" t="n">
        <v>17</v>
      </c>
      <c r="B25" s="6" t="s">
        <v>67</v>
      </c>
      <c r="C25" s="7" t="s">
        <v>68</v>
      </c>
      <c r="D25" s="8" t="s">
        <v>69</v>
      </c>
      <c r="E25" s="8" t="s">
        <v>69</v>
      </c>
      <c r="F25" s="9" t="s">
        <v>70</v>
      </c>
    </row>
    <row r="26" customFormat="false" ht="30" hidden="false" customHeight="true" outlineLevel="0" collapsed="false">
      <c r="A26" s="10" t="n">
        <v>18</v>
      </c>
      <c r="B26" s="11" t="s">
        <v>71</v>
      </c>
      <c r="C26" s="12" t="s">
        <v>72</v>
      </c>
      <c r="D26" s="13" t="s">
        <v>73</v>
      </c>
      <c r="E26" s="13" t="s">
        <v>73</v>
      </c>
      <c r="F26" s="14" t="s">
        <v>74</v>
      </c>
    </row>
    <row r="27" customFormat="false" ht="30" hidden="false" customHeight="true" outlineLevel="0" collapsed="false">
      <c r="A27" s="5" t="n">
        <v>19</v>
      </c>
      <c r="B27" s="6" t="s">
        <v>75</v>
      </c>
      <c r="C27" s="7" t="s">
        <v>76</v>
      </c>
      <c r="D27" s="8" t="s">
        <v>77</v>
      </c>
      <c r="E27" s="8" t="s">
        <v>78</v>
      </c>
      <c r="F27" s="15" t="s">
        <v>79</v>
      </c>
    </row>
    <row r="28" customFormat="false" ht="21.75" hidden="false" customHeight="true" outlineLevel="0" collapsed="false">
      <c r="A28" s="4" t="s">
        <v>80</v>
      </c>
      <c r="B28" s="4"/>
      <c r="C28" s="4"/>
      <c r="D28" s="4"/>
      <c r="E28" s="4"/>
      <c r="F28" s="4"/>
    </row>
    <row r="29" customFormat="false" ht="30" hidden="false" customHeight="true" outlineLevel="0" collapsed="false">
      <c r="A29" s="10" t="n">
        <v>20</v>
      </c>
      <c r="B29" s="11" t="s">
        <v>81</v>
      </c>
      <c r="C29" s="12" t="s">
        <v>82</v>
      </c>
      <c r="D29" s="13" t="s">
        <v>83</v>
      </c>
      <c r="E29" s="13" t="s">
        <v>83</v>
      </c>
      <c r="F29" s="14" t="s">
        <v>84</v>
      </c>
    </row>
    <row r="30" customFormat="false" ht="30" hidden="false" customHeight="true" outlineLevel="0" collapsed="false">
      <c r="A30" s="5" t="n">
        <v>21</v>
      </c>
      <c r="B30" s="6" t="s">
        <v>85</v>
      </c>
      <c r="C30" s="7" t="s">
        <v>86</v>
      </c>
      <c r="D30" s="8" t="s">
        <v>87</v>
      </c>
      <c r="E30" s="8" t="s">
        <v>87</v>
      </c>
      <c r="F30" s="9" t="s">
        <v>88</v>
      </c>
    </row>
    <row r="31" customFormat="false" ht="30" hidden="false" customHeight="true" outlineLevel="0" collapsed="false">
      <c r="A31" s="10" t="n">
        <v>22</v>
      </c>
      <c r="B31" s="11" t="s">
        <v>89</v>
      </c>
      <c r="C31" s="12" t="s">
        <v>90</v>
      </c>
      <c r="D31" s="13" t="s">
        <v>91</v>
      </c>
      <c r="E31" s="13" t="s">
        <v>91</v>
      </c>
      <c r="F31" s="14" t="s">
        <v>12</v>
      </c>
    </row>
    <row r="32" customFormat="false" ht="30" hidden="false" customHeight="true" outlineLevel="0" collapsed="false">
      <c r="A32" s="5" t="n">
        <v>23</v>
      </c>
      <c r="B32" s="6" t="s">
        <v>92</v>
      </c>
      <c r="C32" s="7" t="s">
        <v>93</v>
      </c>
      <c r="D32" s="8" t="s">
        <v>94</v>
      </c>
      <c r="E32" s="8" t="s">
        <v>95</v>
      </c>
      <c r="F32" s="9" t="s">
        <v>96</v>
      </c>
    </row>
    <row r="33" customFormat="false" ht="21.75" hidden="false" customHeight="true" outlineLevel="0" collapsed="false">
      <c r="A33" s="4" t="s">
        <v>97</v>
      </c>
      <c r="B33" s="4"/>
      <c r="C33" s="4"/>
      <c r="D33" s="4"/>
      <c r="E33" s="4"/>
      <c r="F33" s="4"/>
    </row>
    <row r="34" customFormat="false" ht="30" hidden="false" customHeight="true" outlineLevel="0" collapsed="false">
      <c r="A34" s="10" t="n">
        <v>24</v>
      </c>
      <c r="B34" s="11" t="s">
        <v>98</v>
      </c>
      <c r="C34" s="12" t="s">
        <v>99</v>
      </c>
      <c r="D34" s="13" t="s">
        <v>100</v>
      </c>
      <c r="E34" s="13" t="s">
        <v>101</v>
      </c>
      <c r="F34" s="15" t="s">
        <v>102</v>
      </c>
    </row>
    <row r="35" customFormat="false" ht="30" hidden="false" customHeight="true" outlineLevel="0" collapsed="false">
      <c r="A35" s="5" t="n">
        <v>25</v>
      </c>
      <c r="B35" s="6" t="s">
        <v>103</v>
      </c>
      <c r="C35" s="7" t="s">
        <v>104</v>
      </c>
      <c r="D35" s="8" t="s">
        <v>105</v>
      </c>
      <c r="E35" s="8" t="s">
        <v>105</v>
      </c>
      <c r="F35" s="9" t="s">
        <v>12</v>
      </c>
    </row>
    <row r="36" customFormat="false" ht="30" hidden="false" customHeight="true" outlineLevel="0" collapsed="false">
      <c r="A36" s="10" t="n">
        <v>26</v>
      </c>
      <c r="B36" s="11" t="s">
        <v>106</v>
      </c>
      <c r="C36" s="12" t="s">
        <v>107</v>
      </c>
      <c r="D36" s="13" t="s">
        <v>108</v>
      </c>
      <c r="E36" s="13" t="s">
        <v>108</v>
      </c>
      <c r="F36" s="14" t="s">
        <v>12</v>
      </c>
    </row>
    <row r="37" customFormat="false" ht="30" hidden="false" customHeight="true" outlineLevel="0" collapsed="false">
      <c r="A37" s="5" t="n">
        <v>27</v>
      </c>
      <c r="B37" s="6" t="s">
        <v>109</v>
      </c>
      <c r="C37" s="7" t="s">
        <v>110</v>
      </c>
      <c r="D37" s="8" t="s">
        <v>111</v>
      </c>
      <c r="E37" s="8" t="s">
        <v>111</v>
      </c>
      <c r="F37" s="9" t="s">
        <v>12</v>
      </c>
    </row>
    <row r="38" customFormat="false" ht="30" hidden="false" customHeight="true" outlineLevel="0" collapsed="false">
      <c r="A38" s="10" t="n">
        <v>28</v>
      </c>
      <c r="B38" s="11" t="s">
        <v>112</v>
      </c>
      <c r="C38" s="12" t="s">
        <v>113</v>
      </c>
      <c r="D38" s="13" t="s">
        <v>114</v>
      </c>
      <c r="E38" s="13" t="s">
        <v>115</v>
      </c>
      <c r="F38" s="15" t="s">
        <v>116</v>
      </c>
    </row>
    <row r="39" customFormat="false" ht="21.75" hidden="false" customHeight="true" outlineLevel="0" collapsed="false">
      <c r="A39" s="4" t="s">
        <v>117</v>
      </c>
      <c r="B39" s="4"/>
      <c r="C39" s="4"/>
      <c r="D39" s="4"/>
      <c r="E39" s="4"/>
      <c r="F39" s="4"/>
    </row>
    <row r="40" customFormat="false" ht="30" hidden="false" customHeight="true" outlineLevel="0" collapsed="false">
      <c r="A40" s="5" t="n">
        <v>29</v>
      </c>
      <c r="B40" s="6" t="s">
        <v>118</v>
      </c>
      <c r="C40" s="7" t="s">
        <v>119</v>
      </c>
      <c r="D40" s="8" t="s">
        <v>120</v>
      </c>
      <c r="E40" s="8" t="s">
        <v>120</v>
      </c>
      <c r="F40" s="9" t="s">
        <v>121</v>
      </c>
    </row>
    <row r="41" customFormat="false" ht="30" hidden="false" customHeight="true" outlineLevel="0" collapsed="false">
      <c r="A41" s="10" t="n">
        <v>30</v>
      </c>
      <c r="B41" s="11" t="s">
        <v>122</v>
      </c>
      <c r="C41" s="12" t="s">
        <v>123</v>
      </c>
      <c r="D41" s="13" t="s">
        <v>124</v>
      </c>
      <c r="E41" s="13" t="s">
        <v>124</v>
      </c>
      <c r="F41" s="14" t="s">
        <v>12</v>
      </c>
    </row>
    <row r="42" customFormat="false" ht="30" hidden="false" customHeight="true" outlineLevel="0" collapsed="false">
      <c r="A42" s="5" t="n">
        <v>31</v>
      </c>
      <c r="B42" s="6" t="s">
        <v>125</v>
      </c>
      <c r="C42" s="7" t="s">
        <v>126</v>
      </c>
      <c r="D42" s="8" t="s">
        <v>127</v>
      </c>
      <c r="E42" s="8" t="s">
        <v>127</v>
      </c>
      <c r="F42" s="9" t="s">
        <v>12</v>
      </c>
    </row>
    <row r="43" customFormat="false" ht="21.75" hidden="false" customHeight="true" outlineLevel="0" collapsed="false">
      <c r="A43" s="4" t="s">
        <v>128</v>
      </c>
      <c r="B43" s="4"/>
      <c r="C43" s="4"/>
      <c r="D43" s="4"/>
      <c r="E43" s="4"/>
      <c r="F43" s="4"/>
    </row>
    <row r="44" customFormat="false" ht="30" hidden="false" customHeight="true" outlineLevel="0" collapsed="false">
      <c r="A44" s="10" t="n">
        <v>32</v>
      </c>
      <c r="B44" s="11" t="s">
        <v>129</v>
      </c>
      <c r="C44" s="12" t="s">
        <v>130</v>
      </c>
      <c r="D44" s="13" t="s">
        <v>131</v>
      </c>
      <c r="E44" s="13" t="s">
        <v>132</v>
      </c>
      <c r="F44" s="14" t="s">
        <v>133</v>
      </c>
    </row>
    <row r="45" customFormat="false" ht="30" hidden="false" customHeight="true" outlineLevel="0" collapsed="false">
      <c r="A45" s="5" t="n">
        <v>33</v>
      </c>
      <c r="B45" s="6" t="s">
        <v>134</v>
      </c>
      <c r="C45" s="7" t="s">
        <v>135</v>
      </c>
      <c r="D45" s="8" t="s">
        <v>136</v>
      </c>
      <c r="E45" s="8" t="s">
        <v>137</v>
      </c>
      <c r="F45" s="9" t="s">
        <v>138</v>
      </c>
    </row>
    <row r="46" customFormat="false" ht="30" hidden="false" customHeight="true" outlineLevel="0" collapsed="false">
      <c r="A46" s="10" t="n">
        <v>34</v>
      </c>
      <c r="B46" s="11" t="s">
        <v>139</v>
      </c>
      <c r="C46" s="12" t="s">
        <v>140</v>
      </c>
      <c r="D46" s="13" t="s">
        <v>141</v>
      </c>
      <c r="E46" s="13" t="s">
        <v>142</v>
      </c>
      <c r="F46" s="14" t="s">
        <v>143</v>
      </c>
    </row>
    <row r="47" customFormat="false" ht="30" hidden="false" customHeight="true" outlineLevel="0" collapsed="false">
      <c r="A47" s="5" t="n">
        <v>35</v>
      </c>
      <c r="B47" s="6" t="s">
        <v>144</v>
      </c>
      <c r="C47" s="7" t="s">
        <v>145</v>
      </c>
      <c r="D47" s="8" t="s">
        <v>146</v>
      </c>
      <c r="E47" s="8" t="s">
        <v>147</v>
      </c>
      <c r="F47" s="9" t="s">
        <v>148</v>
      </c>
    </row>
    <row r="48" customFormat="false" ht="30" hidden="false" customHeight="true" outlineLevel="0" collapsed="false">
      <c r="A48" s="10" t="n">
        <v>36</v>
      </c>
      <c r="B48" s="11" t="s">
        <v>149</v>
      </c>
      <c r="C48" s="12" t="s">
        <v>150</v>
      </c>
      <c r="D48" s="13" t="s">
        <v>151</v>
      </c>
      <c r="E48" s="13" t="s">
        <v>152</v>
      </c>
      <c r="F48" s="14" t="s">
        <v>138</v>
      </c>
    </row>
    <row r="49" customFormat="false" ht="30" hidden="false" customHeight="true" outlineLevel="0" collapsed="false">
      <c r="A49" s="5" t="n">
        <v>37</v>
      </c>
      <c r="B49" s="6" t="s">
        <v>153</v>
      </c>
      <c r="C49" s="7" t="s">
        <v>154</v>
      </c>
      <c r="D49" s="8" t="s">
        <v>155</v>
      </c>
      <c r="E49" s="8" t="s">
        <v>156</v>
      </c>
      <c r="F49" s="15" t="s">
        <v>157</v>
      </c>
    </row>
    <row r="50" customFormat="false" ht="30" hidden="false" customHeight="true" outlineLevel="0" collapsed="false">
      <c r="A50" s="10" t="n">
        <v>38</v>
      </c>
      <c r="B50" s="11" t="s">
        <v>158</v>
      </c>
      <c r="C50" s="12" t="s">
        <v>159</v>
      </c>
      <c r="D50" s="13" t="s">
        <v>160</v>
      </c>
      <c r="E50" s="13" t="s">
        <v>161</v>
      </c>
      <c r="F50" s="14" t="s">
        <v>162</v>
      </c>
    </row>
    <row r="51" customFormat="false" ht="30" hidden="false" customHeight="true" outlineLevel="0" collapsed="false">
      <c r="A51" s="5" t="n">
        <v>39</v>
      </c>
      <c r="B51" s="6" t="s">
        <v>163</v>
      </c>
      <c r="C51" s="7" t="s">
        <v>164</v>
      </c>
      <c r="D51" s="8" t="s">
        <v>165</v>
      </c>
      <c r="E51" s="8" t="s">
        <v>165</v>
      </c>
      <c r="F51" s="9" t="s">
        <v>166</v>
      </c>
    </row>
    <row r="52" customFormat="false" ht="30" hidden="false" customHeight="true" outlineLevel="0" collapsed="false">
      <c r="A52" s="10" t="n">
        <v>40</v>
      </c>
      <c r="B52" s="11" t="s">
        <v>167</v>
      </c>
      <c r="C52" s="12" t="s">
        <v>168</v>
      </c>
      <c r="D52" s="13" t="s">
        <v>169</v>
      </c>
      <c r="E52" s="13" t="s">
        <v>170</v>
      </c>
      <c r="F52" s="14" t="s">
        <v>171</v>
      </c>
    </row>
    <row r="53" customFormat="false" ht="21.75" hidden="false" customHeight="true" outlineLevel="0" collapsed="false">
      <c r="A53" s="4" t="s">
        <v>172</v>
      </c>
      <c r="B53" s="4"/>
      <c r="C53" s="4"/>
      <c r="D53" s="4"/>
      <c r="E53" s="4"/>
      <c r="F53" s="4"/>
    </row>
    <row r="54" customFormat="false" ht="30" hidden="false" customHeight="true" outlineLevel="0" collapsed="false">
      <c r="A54" s="5" t="n">
        <v>41</v>
      </c>
      <c r="B54" s="6" t="s">
        <v>173</v>
      </c>
      <c r="C54" s="7" t="s">
        <v>174</v>
      </c>
      <c r="D54" s="8" t="s">
        <v>175</v>
      </c>
      <c r="E54" s="8" t="s">
        <v>176</v>
      </c>
      <c r="F54" s="15" t="s">
        <v>177</v>
      </c>
    </row>
    <row r="55" customFormat="false" ht="30" hidden="false" customHeight="true" outlineLevel="0" collapsed="false">
      <c r="A55" s="10" t="n">
        <v>42</v>
      </c>
      <c r="B55" s="11" t="s">
        <v>178</v>
      </c>
      <c r="C55" s="12" t="s">
        <v>179</v>
      </c>
      <c r="D55" s="13" t="s">
        <v>180</v>
      </c>
      <c r="E55" s="13" t="s">
        <v>181</v>
      </c>
      <c r="F55" s="15" t="s">
        <v>182</v>
      </c>
    </row>
    <row r="56" customFormat="false" ht="30" hidden="false" customHeight="true" outlineLevel="0" collapsed="false">
      <c r="A56" s="5" t="n">
        <v>43</v>
      </c>
      <c r="B56" s="6" t="s">
        <v>183</v>
      </c>
      <c r="C56" s="7" t="s">
        <v>184</v>
      </c>
      <c r="D56" s="8" t="s">
        <v>185</v>
      </c>
      <c r="E56" s="8" t="s">
        <v>186</v>
      </c>
      <c r="F56" s="9" t="s">
        <v>187</v>
      </c>
    </row>
    <row r="57" customFormat="false" ht="30" hidden="false" customHeight="true" outlineLevel="0" collapsed="false">
      <c r="A57" s="10" t="n">
        <v>44</v>
      </c>
      <c r="B57" s="11" t="s">
        <v>188</v>
      </c>
      <c r="C57" s="12" t="s">
        <v>189</v>
      </c>
      <c r="D57" s="13" t="s">
        <v>190</v>
      </c>
      <c r="E57" s="13" t="s">
        <v>191</v>
      </c>
      <c r="F57" s="14" t="s">
        <v>192</v>
      </c>
    </row>
    <row r="58" customFormat="false" ht="30" hidden="false" customHeight="true" outlineLevel="0" collapsed="false">
      <c r="A58" s="5" t="n">
        <v>45</v>
      </c>
      <c r="B58" s="6" t="s">
        <v>193</v>
      </c>
      <c r="C58" s="7" t="s">
        <v>194</v>
      </c>
      <c r="D58" s="8" t="s">
        <v>195</v>
      </c>
      <c r="E58" s="8" t="s">
        <v>196</v>
      </c>
      <c r="F58" s="15" t="s">
        <v>197</v>
      </c>
    </row>
    <row r="59" customFormat="false" ht="30" hidden="false" customHeight="true" outlineLevel="0" collapsed="false">
      <c r="A59" s="10" t="n">
        <v>46</v>
      </c>
      <c r="B59" s="11" t="s">
        <v>198</v>
      </c>
      <c r="C59" s="12" t="s">
        <v>199</v>
      </c>
      <c r="D59" s="13" t="s">
        <v>200</v>
      </c>
      <c r="E59" s="13" t="s">
        <v>201</v>
      </c>
      <c r="F59" s="15" t="s">
        <v>202</v>
      </c>
    </row>
  </sheetData>
  <autoFilter ref="A4:F59"/>
  <mergeCells count="11">
    <mergeCell ref="A1:F1"/>
    <mergeCell ref="A2:F2"/>
    <mergeCell ref="A5:F5"/>
    <mergeCell ref="A11:F11"/>
    <mergeCell ref="A16:F16"/>
    <mergeCell ref="A22:F22"/>
    <mergeCell ref="A28:F28"/>
    <mergeCell ref="A33:F33"/>
    <mergeCell ref="A39:F39"/>
    <mergeCell ref="A43:F43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6" t="s">
        <v>203</v>
      </c>
      <c r="B1" s="16"/>
      <c r="C1" s="16"/>
      <c r="D1" s="16"/>
      <c r="E1" s="16"/>
    </row>
    <row r="3" customFormat="false" ht="15" hidden="false" customHeight="false" outlineLevel="0" collapsed="false">
      <c r="A3" s="17" t="s">
        <v>204</v>
      </c>
    </row>
    <row r="4" customFormat="false" ht="15" hidden="false" customHeight="false" outlineLevel="0" collapsed="false">
      <c r="A4" s="3" t="s">
        <v>205</v>
      </c>
      <c r="B4" s="3" t="s">
        <v>206</v>
      </c>
      <c r="C4" s="3" t="s">
        <v>207</v>
      </c>
      <c r="D4" s="3" t="s">
        <v>208</v>
      </c>
      <c r="F4" s="3" t="s">
        <v>209</v>
      </c>
      <c r="G4" s="3" t="s">
        <v>210</v>
      </c>
      <c r="H4" s="3" t="s">
        <v>211</v>
      </c>
    </row>
    <row r="5" customFormat="false" ht="15" hidden="false" customHeight="false" outlineLevel="0" collapsed="false">
      <c r="A5" s="18" t="s">
        <v>212</v>
      </c>
      <c r="B5" s="18" t="s">
        <v>213</v>
      </c>
      <c r="C5" s="19" t="n">
        <v>50</v>
      </c>
      <c r="D5" s="19" t="n">
        <v>120</v>
      </c>
      <c r="F5" s="20" t="s">
        <v>214</v>
      </c>
      <c r="G5" s="21" t="n">
        <f aca="false">SUM(D5:D12)</f>
        <v>1070</v>
      </c>
      <c r="H5" s="22" t="s">
        <v>215</v>
      </c>
    </row>
    <row r="6" customFormat="false" ht="15" hidden="false" customHeight="false" outlineLevel="0" collapsed="false">
      <c r="A6" s="23" t="s">
        <v>216</v>
      </c>
      <c r="B6" s="23" t="s">
        <v>217</v>
      </c>
      <c r="C6" s="24" t="n">
        <v>30</v>
      </c>
      <c r="D6" s="24" t="n">
        <v>75</v>
      </c>
      <c r="F6" s="25" t="s">
        <v>218</v>
      </c>
      <c r="G6" s="26" t="n">
        <f aca="false">AVERAGE(C5:C12)</f>
        <v>46.875</v>
      </c>
      <c r="H6" s="27" t="s">
        <v>219</v>
      </c>
    </row>
    <row r="7" customFormat="false" ht="15" hidden="false" customHeight="false" outlineLevel="0" collapsed="false">
      <c r="A7" s="18" t="s">
        <v>212</v>
      </c>
      <c r="B7" s="18" t="s">
        <v>217</v>
      </c>
      <c r="C7" s="19" t="n">
        <v>45</v>
      </c>
      <c r="D7" s="19" t="n">
        <v>108</v>
      </c>
      <c r="F7" s="20" t="s">
        <v>220</v>
      </c>
      <c r="G7" s="21" t="n">
        <f aca="false">MAX(D5:D12)</f>
        <v>240</v>
      </c>
      <c r="H7" s="22" t="s">
        <v>221</v>
      </c>
    </row>
    <row r="8" customFormat="false" ht="15" hidden="false" customHeight="false" outlineLevel="0" collapsed="false">
      <c r="A8" s="23" t="s">
        <v>222</v>
      </c>
      <c r="B8" s="23" t="s">
        <v>213</v>
      </c>
      <c r="C8" s="24" t="n">
        <v>60</v>
      </c>
      <c r="D8" s="24" t="n">
        <v>240</v>
      </c>
      <c r="F8" s="25" t="s">
        <v>223</v>
      </c>
      <c r="G8" s="26" t="n">
        <f aca="false">COUNTIF(A5:A12,"Apples")</f>
        <v>3</v>
      </c>
      <c r="H8" s="27" t="s">
        <v>224</v>
      </c>
    </row>
    <row r="9" customFormat="false" ht="15" hidden="false" customHeight="false" outlineLevel="0" collapsed="false">
      <c r="A9" s="18" t="s">
        <v>216</v>
      </c>
      <c r="B9" s="18" t="s">
        <v>213</v>
      </c>
      <c r="C9" s="19" t="n">
        <v>25</v>
      </c>
      <c r="D9" s="19" t="n">
        <v>62</v>
      </c>
      <c r="F9" s="20" t="s">
        <v>225</v>
      </c>
      <c r="G9" s="21" t="n">
        <f aca="false">SUMIF(A5:A12,"Apples",D5:D12)</f>
        <v>396</v>
      </c>
      <c r="H9" s="22" t="s">
        <v>226</v>
      </c>
    </row>
    <row r="10" customFormat="false" ht="15" hidden="false" customHeight="false" outlineLevel="0" collapsed="false">
      <c r="A10" s="23" t="s">
        <v>212</v>
      </c>
      <c r="B10" s="23" t="s">
        <v>213</v>
      </c>
      <c r="C10" s="24" t="n">
        <v>70</v>
      </c>
      <c r="D10" s="24" t="n">
        <v>168</v>
      </c>
      <c r="F10" s="25" t="s">
        <v>227</v>
      </c>
      <c r="G10" s="26" t="n">
        <f aca="false">SUMIFS(D5:D12,A5:A12,"Bananas",B5:B12,"South")</f>
        <v>212</v>
      </c>
      <c r="H10" s="27" t="s">
        <v>228</v>
      </c>
    </row>
    <row r="11" customFormat="false" ht="15" hidden="false" customHeight="false" outlineLevel="0" collapsed="false">
      <c r="A11" s="18" t="s">
        <v>222</v>
      </c>
      <c r="B11" s="18" t="s">
        <v>217</v>
      </c>
      <c r="C11" s="19" t="n">
        <v>40</v>
      </c>
      <c r="D11" s="19" t="n">
        <v>160</v>
      </c>
      <c r="F11" s="20" t="s">
        <v>229</v>
      </c>
      <c r="G11" s="21" t="n">
        <f aca="false">AVERAGEIFS(C5:C12,B5:B12,"North")</f>
        <v>51.25</v>
      </c>
      <c r="H11" s="22" t="s">
        <v>230</v>
      </c>
    </row>
    <row r="12" customFormat="false" ht="15" hidden="false" customHeight="false" outlineLevel="0" collapsed="false">
      <c r="A12" s="23" t="s">
        <v>216</v>
      </c>
      <c r="B12" s="23" t="s">
        <v>217</v>
      </c>
      <c r="C12" s="24" t="n">
        <v>55</v>
      </c>
      <c r="D12" s="24" t="n">
        <v>137</v>
      </c>
      <c r="F12" s="25" t="s">
        <v>231</v>
      </c>
      <c r="G12" s="26" t="n">
        <f aca="false">VLOOKUP("Cherries",A5:D12,4,FALSE())</f>
        <v>240</v>
      </c>
      <c r="H12" s="27" t="s">
        <v>232</v>
      </c>
    </row>
    <row r="13" customFormat="false" ht="15" hidden="false" customHeight="false" outlineLevel="0" collapsed="false">
      <c r="F13" s="20" t="s">
        <v>233</v>
      </c>
      <c r="G13" s="21" t="n">
        <f aca="false">INDEX(D5:D12,MATCH("Bananas",A5:A12,0))</f>
        <v>75</v>
      </c>
      <c r="H13" s="22" t="s">
        <v>234</v>
      </c>
    </row>
    <row r="14" customFormat="false" ht="15" hidden="false" customHeight="false" outlineLevel="0" collapsed="false">
      <c r="F14" s="25" t="s">
        <v>235</v>
      </c>
      <c r="G14" s="26" t="n">
        <f aca="false">RANK(D5,D5:D12)</f>
        <v>5</v>
      </c>
      <c r="H14" s="27" t="s">
        <v>236</v>
      </c>
    </row>
    <row r="15" customFormat="false" ht="15" hidden="false" customHeight="false" outlineLevel="0" collapsed="false">
      <c r="F15" s="20" t="s">
        <v>237</v>
      </c>
      <c r="G15" s="21" t="n">
        <f aca="false">PERCENTILE(D5:D12,0.75)</f>
        <v>162</v>
      </c>
      <c r="H15" s="22" t="s">
        <v>238</v>
      </c>
    </row>
    <row r="16" customFormat="false" ht="15" hidden="false" customHeight="false" outlineLevel="0" collapsed="false">
      <c r="F16" s="25" t="s">
        <v>239</v>
      </c>
      <c r="G16" s="26" t="n">
        <f aca="false">COUNTA(A5:A12)</f>
        <v>8</v>
      </c>
      <c r="H16" s="27" t="s">
        <v>240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5.5" hidden="false" customHeight="true" outlineLevel="0" collapsed="false">
      <c r="A1" s="28" t="s">
        <v>241</v>
      </c>
    </row>
    <row r="2" customFormat="false" ht="15" hidden="false" customHeight="false" outlineLevel="0" collapsed="false">
      <c r="A2" s="29"/>
    </row>
    <row r="3" customFormat="false" ht="15" hidden="false" customHeight="false" outlineLevel="0" collapsed="false">
      <c r="A3" s="29" t="s">
        <v>242</v>
      </c>
    </row>
    <row r="4" customFormat="false" ht="15" hidden="false" customHeight="false" outlineLevel="0" collapsed="false">
      <c r="A4" s="29"/>
    </row>
    <row r="5" customFormat="false" ht="15" hidden="false" customHeight="false" outlineLevel="0" collapsed="false">
      <c r="A5" s="30" t="s">
        <v>243</v>
      </c>
    </row>
    <row r="6" customFormat="false" ht="15" hidden="false" customHeight="false" outlineLevel="0" collapsed="false">
      <c r="A6" s="29" t="s">
        <v>244</v>
      </c>
    </row>
    <row r="7" customFormat="false" ht="15" hidden="false" customHeight="false" outlineLevel="0" collapsed="false">
      <c r="A7" s="29" t="s">
        <v>245</v>
      </c>
    </row>
    <row r="8" customFormat="false" ht="15" hidden="false" customHeight="false" outlineLevel="0" collapsed="false">
      <c r="A8" s="29" t="s">
        <v>246</v>
      </c>
    </row>
    <row r="9" customFormat="false" ht="15" hidden="false" customHeight="false" outlineLevel="0" collapsed="false">
      <c r="A9" s="29" t="s">
        <v>247</v>
      </c>
    </row>
    <row r="10" customFormat="false" ht="15" hidden="false" customHeight="false" outlineLevel="0" collapsed="false">
      <c r="A10" s="29" t="s">
        <v>248</v>
      </c>
    </row>
    <row r="11" customFormat="false" ht="15" hidden="false" customHeight="false" outlineLevel="0" collapsed="false">
      <c r="A11" s="29"/>
    </row>
    <row r="12" customFormat="false" ht="15" hidden="false" customHeight="false" outlineLevel="0" collapsed="false">
      <c r="A12" s="30" t="s">
        <v>249</v>
      </c>
    </row>
    <row r="13" customFormat="false" ht="15" hidden="false" customHeight="false" outlineLevel="0" collapsed="false">
      <c r="A13" s="29" t="s">
        <v>250</v>
      </c>
    </row>
    <row r="14" customFormat="false" ht="15" hidden="false" customHeight="false" outlineLevel="0" collapsed="false">
      <c r="A14" s="31" t="s">
        <v>251</v>
      </c>
    </row>
    <row r="15" customFormat="false" ht="15" hidden="false" customHeight="false" outlineLevel="0" collapsed="false">
      <c r="A15" s="29"/>
    </row>
    <row r="16" customFormat="false" ht="15" hidden="false" customHeight="false" outlineLevel="0" collapsed="false">
      <c r="A16" s="30" t="s">
        <v>252</v>
      </c>
    </row>
    <row r="17" customFormat="false" ht="15" hidden="false" customHeight="false" outlineLevel="0" collapsed="false">
      <c r="A17" s="29" t="s">
        <v>253</v>
      </c>
    </row>
    <row r="18" customFormat="false" ht="15" hidden="false" customHeight="false" outlineLevel="0" collapsed="false">
      <c r="A18" s="29" t="s">
        <v>254</v>
      </c>
    </row>
    <row r="19" customFormat="false" ht="15" hidden="false" customHeight="false" outlineLevel="0" collapsed="false">
      <c r="A19" s="29"/>
    </row>
    <row r="20" customFormat="false" ht="15" hidden="false" customHeight="false" outlineLevel="0" collapsed="false">
      <c r="A20" s="30" t="s">
        <v>255</v>
      </c>
    </row>
    <row r="21" customFormat="false" ht="15" hidden="false" customHeight="false" outlineLevel="0" collapsed="false">
      <c r="A21" s="29" t="s">
        <v>256</v>
      </c>
    </row>
    <row r="22" customFormat="false" ht="15" hidden="false" customHeight="false" outlineLevel="0" collapsed="false">
      <c r="A22" s="29" t="s">
        <v>257</v>
      </c>
    </row>
    <row r="23" customFormat="false" ht="15" hidden="false" customHeight="false" outlineLevel="0" collapsed="false">
      <c r="A23" s="29"/>
    </row>
    <row r="24" customFormat="false" ht="15" hidden="false" customHeight="false" outlineLevel="0" collapsed="false">
      <c r="A24" s="29" t="s">
        <v>258</v>
      </c>
    </row>
    <row r="25" customFormat="false" ht="15" hidden="false" customHeight="false" outlineLevel="0" collapsed="false">
      <c r="A25" s="29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2026-06-02T20:31:03Z</dcterms:created>
  <dc:creator>openpyxl</dc:creator>
  <dc:description/>
  <dc:language>en-US</dc:language>
  <cp:lastModifiedBy/>
  <dcterms:modified xsi:type="dcterms:W3CDTF">2026-06-02T20:31:03Z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